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study_related\我的论文\SemanticControl\communications_biology\Data\"/>
    </mc:Choice>
  </mc:AlternateContent>
  <xr:revisionPtr revIDLastSave="0" documentId="13_ncr:1_{C1362FF9-0F6D-4628-8419-8D96394B931B}" xr6:coauthVersionLast="47" xr6:coauthVersionMax="47" xr10:uidLastSave="{00000000-0000-0000-0000-000000000000}"/>
  <bookViews>
    <workbookView xWindow="-86" yWindow="0" windowWidth="16629" windowHeight="17880" activeTab="1" xr2:uid="{00000000-000D-0000-FFFF-FFFF00000000}"/>
  </bookViews>
  <sheets>
    <sheet name="fMRI_participants" sheetId="1" r:id="rId1"/>
    <sheet name="TMS_participants" sheetId="3" r:id="rId2"/>
    <sheet name="StiOrder" sheetId="5" r:id="rId3"/>
    <sheet name="TaskOrder" sheetId="6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26" i="3" l="1"/>
  <c r="Q26" i="3"/>
  <c r="R26" i="3"/>
  <c r="S26" i="3"/>
  <c r="T26" i="3"/>
  <c r="U26" i="3"/>
  <c r="V26" i="3"/>
  <c r="W26" i="3"/>
  <c r="O26" i="3"/>
  <c r="P25" i="3"/>
  <c r="Q25" i="3"/>
  <c r="R25" i="3"/>
  <c r="S25" i="3"/>
  <c r="T25" i="3"/>
  <c r="U25" i="3"/>
  <c r="V25" i="3"/>
  <c r="W25" i="3"/>
  <c r="O25" i="3"/>
  <c r="F29" i="6"/>
  <c r="E29" i="6"/>
  <c r="D29" i="6"/>
  <c r="C29" i="6"/>
  <c r="B29" i="6"/>
  <c r="F28" i="6"/>
  <c r="E28" i="6"/>
  <c r="D28" i="6"/>
  <c r="C28" i="6"/>
  <c r="B28" i="6"/>
  <c r="F27" i="6"/>
  <c r="E27" i="6"/>
  <c r="D27" i="6"/>
  <c r="C27" i="6"/>
  <c r="B27" i="6"/>
  <c r="F26" i="6"/>
  <c r="E26" i="6"/>
  <c r="D26" i="6"/>
  <c r="C26" i="6"/>
  <c r="B26" i="6"/>
  <c r="F25" i="6"/>
  <c r="E25" i="6"/>
  <c r="D25" i="6"/>
  <c r="C25" i="6"/>
  <c r="B25" i="6"/>
</calcChain>
</file>

<file path=xl/sharedStrings.xml><?xml version="1.0" encoding="utf-8"?>
<sst xmlns="http://schemas.openxmlformats.org/spreadsheetml/2006/main" count="226" uniqueCount="32">
  <si>
    <t>RMT</t>
    <phoneticPr fontId="1" type="noConversion"/>
  </si>
  <si>
    <t>pMTG</t>
    <phoneticPr fontId="1" type="noConversion"/>
  </si>
  <si>
    <t>dmPFC</t>
    <phoneticPr fontId="1" type="noConversion"/>
  </si>
  <si>
    <t>IFG</t>
    <phoneticPr fontId="1" type="noConversion"/>
  </si>
  <si>
    <t>Vertex</t>
    <phoneticPr fontId="1" type="noConversion"/>
  </si>
  <si>
    <t>session4</t>
  </si>
  <si>
    <t>output</t>
    <phoneticPr fontId="1" type="noConversion"/>
  </si>
  <si>
    <t>session3</t>
    <phoneticPr fontId="1" type="noConversion"/>
  </si>
  <si>
    <t>session5</t>
  </si>
  <si>
    <t>session6</t>
  </si>
  <si>
    <t>pMTG</t>
    <phoneticPr fontId="1" type="noConversion"/>
  </si>
  <si>
    <t>dmPFC</t>
    <phoneticPr fontId="1" type="noConversion"/>
  </si>
  <si>
    <t>task1</t>
    <phoneticPr fontId="1" type="noConversion"/>
  </si>
  <si>
    <t>task2</t>
  </si>
  <si>
    <t>task3</t>
  </si>
  <si>
    <t>task4</t>
  </si>
  <si>
    <t>task5</t>
  </si>
  <si>
    <t>subID</t>
    <phoneticPr fontId="1" type="noConversion"/>
  </si>
  <si>
    <t>sex (1-male, 2-female)</t>
    <phoneticPr fontId="1" type="noConversion"/>
  </si>
  <si>
    <t>age</t>
    <phoneticPr fontId="1" type="noConversion"/>
  </si>
  <si>
    <t>Order</t>
    <phoneticPr fontId="1" type="noConversion"/>
  </si>
  <si>
    <t>LatinSquareCounterbalance</t>
    <phoneticPr fontId="1" type="noConversion"/>
  </si>
  <si>
    <t>count</t>
  </si>
  <si>
    <t>PainTest</t>
    <phoneticPr fontId="1" type="noConversion"/>
  </si>
  <si>
    <t>handedness(1-left; 2-right)</t>
    <phoneticPr fontId="1" type="noConversion"/>
  </si>
  <si>
    <t>vertex</t>
    <phoneticPr fontId="1" type="noConversion"/>
  </si>
  <si>
    <t>x</t>
    <phoneticPr fontId="1" type="noConversion"/>
  </si>
  <si>
    <t>y</t>
    <phoneticPr fontId="1" type="noConversion"/>
  </si>
  <si>
    <t>z</t>
    <phoneticPr fontId="1" type="noConversion"/>
  </si>
  <si>
    <t>IFG (MNI coordinates)</t>
    <phoneticPr fontId="1" type="noConversion"/>
  </si>
  <si>
    <t>pMTG (MNI coordinates)</t>
    <phoneticPr fontId="1" type="noConversion"/>
  </si>
  <si>
    <t>dmPFC (MNI coordinates)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</si>
</sst>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  <font>
      <sz val="11"/>
      <color theme="1"/>
      <name val="等线"/>
      <family val="3"/>
      <charset val="134"/>
      <scheme val="minor"/>
    </font>
    <font>
      <sz val="11"/>
      <name val="等线"/>
      <family val="3"/>
      <charset val="134"/>
      <scheme val="minor"/>
    </font>
    <font>
      <sz val="11"/>
      <name val="等线"/>
      <family val="2"/>
      <scheme val="minor"/>
    </font>
    <font>
      <b/>
      <sz val="11"/>
      <color theme="1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left"/>
    </xf>
    <xf numFmtId="0" fontId="0" fillId="0" borderId="1" xfId="0" applyBorder="1" applyAlignment="1">
      <alignment horizontal="center"/>
    </xf>
    <xf numFmtId="0" fontId="5" fillId="0" borderId="0" xfId="0" applyFont="1" applyAlignment="1">
      <alignment horizontal="center"/>
    </xf>
    <xf numFmtId="0" fontId="0" fillId="0" borderId="0" xfId="0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常规" xfId="0" builtinId="0"/>
  </cellStyles>
  <dxfs count="0"/>
  <tableStyles count="0" defaultTableStyle="TableStyleMedium2" defaultPivotStyle="PivotStyleLight16"/>
  <colors>
    <mruColors>
      <color rgb="FFFF616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8"/>
  <sheetViews>
    <sheetView zoomScale="70" zoomScaleNormal="70" workbookViewId="0">
      <selection activeCell="D1" sqref="D1"/>
    </sheetView>
  </sheetViews>
  <sheetFormatPr defaultColWidth="8.85546875" defaultRowHeight="14.15" x14ac:dyDescent="0.35"/>
  <cols>
    <col min="1" max="1" width="6.2109375" style="1" customWidth="1"/>
    <col min="2" max="16384" width="8.85546875" style="1"/>
  </cols>
  <sheetData>
    <row r="1" spans="1:5" s="5" customFormat="1" x14ac:dyDescent="0.35">
      <c r="A1" s="1" t="s">
        <v>17</v>
      </c>
      <c r="B1" s="1" t="s">
        <v>18</v>
      </c>
      <c r="C1" s="1" t="s">
        <v>19</v>
      </c>
      <c r="D1" s="8" t="s">
        <v>24</v>
      </c>
      <c r="E1" s="1"/>
    </row>
    <row r="2" spans="1:5" x14ac:dyDescent="0.35">
      <c r="A2" s="1">
        <v>1</v>
      </c>
      <c r="B2" s="1">
        <v>1</v>
      </c>
      <c r="C2" s="4">
        <v>24</v>
      </c>
      <c r="D2" s="4">
        <v>2</v>
      </c>
    </row>
    <row r="3" spans="1:5" x14ac:dyDescent="0.35">
      <c r="A3" s="1">
        <v>2</v>
      </c>
      <c r="B3" s="1">
        <v>2</v>
      </c>
      <c r="C3" s="4">
        <v>23</v>
      </c>
      <c r="D3" s="4">
        <v>2</v>
      </c>
    </row>
    <row r="4" spans="1:5" x14ac:dyDescent="0.35">
      <c r="A4" s="1">
        <v>3</v>
      </c>
      <c r="B4" s="1">
        <v>1</v>
      </c>
      <c r="C4" s="1">
        <v>20</v>
      </c>
      <c r="D4" s="4">
        <v>2</v>
      </c>
    </row>
    <row r="5" spans="1:5" x14ac:dyDescent="0.35">
      <c r="A5" s="1">
        <v>4</v>
      </c>
      <c r="B5" s="1">
        <v>2</v>
      </c>
      <c r="C5" s="1">
        <v>24</v>
      </c>
      <c r="D5" s="4">
        <v>2</v>
      </c>
    </row>
    <row r="6" spans="1:5" x14ac:dyDescent="0.35">
      <c r="A6" s="2">
        <v>5</v>
      </c>
      <c r="B6" s="1">
        <v>2</v>
      </c>
      <c r="C6" s="1">
        <v>20</v>
      </c>
      <c r="D6" s="4">
        <v>2</v>
      </c>
    </row>
    <row r="7" spans="1:5" x14ac:dyDescent="0.35">
      <c r="A7" s="1">
        <v>6</v>
      </c>
      <c r="B7" s="1">
        <v>1</v>
      </c>
      <c r="C7" s="1">
        <v>19</v>
      </c>
      <c r="D7" s="4">
        <v>2</v>
      </c>
    </row>
    <row r="8" spans="1:5" x14ac:dyDescent="0.35">
      <c r="A8" s="2">
        <v>7</v>
      </c>
      <c r="B8" s="1">
        <v>2</v>
      </c>
      <c r="C8" s="1">
        <v>19</v>
      </c>
      <c r="D8" s="4">
        <v>2</v>
      </c>
    </row>
    <row r="9" spans="1:5" x14ac:dyDescent="0.35">
      <c r="A9" s="2">
        <v>8</v>
      </c>
      <c r="B9" s="1">
        <v>1</v>
      </c>
      <c r="C9" s="1">
        <v>23</v>
      </c>
      <c r="D9" s="4">
        <v>2</v>
      </c>
    </row>
    <row r="10" spans="1:5" x14ac:dyDescent="0.35">
      <c r="A10" s="1">
        <v>9</v>
      </c>
      <c r="B10" s="1">
        <v>1</v>
      </c>
      <c r="C10" s="1">
        <v>20</v>
      </c>
      <c r="D10" s="4">
        <v>2</v>
      </c>
    </row>
    <row r="11" spans="1:5" x14ac:dyDescent="0.35">
      <c r="A11" s="1">
        <v>10</v>
      </c>
      <c r="B11" s="1">
        <v>1</v>
      </c>
      <c r="C11" s="1">
        <v>21</v>
      </c>
      <c r="D11" s="4">
        <v>2</v>
      </c>
    </row>
    <row r="12" spans="1:5" x14ac:dyDescent="0.35">
      <c r="A12" s="3">
        <v>11</v>
      </c>
      <c r="B12" s="1">
        <v>2</v>
      </c>
      <c r="C12" s="1">
        <v>19</v>
      </c>
      <c r="D12" s="4">
        <v>2</v>
      </c>
    </row>
    <row r="13" spans="1:5" x14ac:dyDescent="0.35">
      <c r="A13" s="1">
        <v>12</v>
      </c>
      <c r="B13" s="1">
        <v>2</v>
      </c>
      <c r="C13" s="1">
        <v>20</v>
      </c>
      <c r="D13" s="4">
        <v>2</v>
      </c>
    </row>
    <row r="14" spans="1:5" x14ac:dyDescent="0.35">
      <c r="A14" s="1">
        <v>13</v>
      </c>
      <c r="B14" s="1">
        <v>1</v>
      </c>
      <c r="C14" s="1">
        <v>24</v>
      </c>
      <c r="D14" s="4">
        <v>2</v>
      </c>
    </row>
    <row r="15" spans="1:5" x14ac:dyDescent="0.35">
      <c r="A15" s="1">
        <v>14</v>
      </c>
      <c r="B15" s="1">
        <v>2</v>
      </c>
      <c r="C15" s="1">
        <v>20</v>
      </c>
      <c r="D15" s="4">
        <v>2</v>
      </c>
    </row>
    <row r="16" spans="1:5" x14ac:dyDescent="0.35">
      <c r="A16" s="3">
        <v>15</v>
      </c>
      <c r="B16" s="3">
        <v>2</v>
      </c>
      <c r="C16" s="3">
        <v>18</v>
      </c>
      <c r="D16" s="4">
        <v>2</v>
      </c>
    </row>
    <row r="17" spans="1:4" x14ac:dyDescent="0.35">
      <c r="A17" s="1">
        <v>16</v>
      </c>
      <c r="B17" s="1">
        <v>1</v>
      </c>
      <c r="C17" s="1">
        <v>22</v>
      </c>
      <c r="D17" s="4">
        <v>2</v>
      </c>
    </row>
    <row r="18" spans="1:4" x14ac:dyDescent="0.35">
      <c r="A18" s="1">
        <v>17</v>
      </c>
      <c r="B18" s="1">
        <v>1</v>
      </c>
      <c r="C18" s="1">
        <v>21</v>
      </c>
      <c r="D18" s="4">
        <v>2</v>
      </c>
    </row>
    <row r="19" spans="1:4" x14ac:dyDescent="0.35">
      <c r="A19" s="3">
        <v>18</v>
      </c>
      <c r="B19" s="1">
        <v>1</v>
      </c>
      <c r="C19" s="1">
        <v>19</v>
      </c>
      <c r="D19" s="4">
        <v>2</v>
      </c>
    </row>
    <row r="20" spans="1:4" x14ac:dyDescent="0.35">
      <c r="A20" s="1">
        <v>19</v>
      </c>
      <c r="B20" s="1">
        <v>2</v>
      </c>
      <c r="C20" s="1">
        <v>20</v>
      </c>
      <c r="D20" s="4">
        <v>2</v>
      </c>
    </row>
    <row r="21" spans="1:4" x14ac:dyDescent="0.35">
      <c r="A21" s="1">
        <v>20</v>
      </c>
      <c r="B21" s="1">
        <v>2</v>
      </c>
      <c r="C21" s="1">
        <v>20</v>
      </c>
      <c r="D21" s="4">
        <v>2</v>
      </c>
    </row>
    <row r="22" spans="1:4" x14ac:dyDescent="0.35">
      <c r="A22" s="1">
        <v>22</v>
      </c>
      <c r="B22" s="1">
        <v>2</v>
      </c>
      <c r="C22" s="1">
        <v>19</v>
      </c>
      <c r="D22" s="4">
        <v>2</v>
      </c>
    </row>
    <row r="23" spans="1:4" x14ac:dyDescent="0.35">
      <c r="A23" s="1">
        <v>23</v>
      </c>
      <c r="B23" s="1">
        <v>1</v>
      </c>
      <c r="C23" s="1">
        <v>19</v>
      </c>
      <c r="D23" s="4">
        <v>2</v>
      </c>
    </row>
    <row r="24" spans="1:4" x14ac:dyDescent="0.35">
      <c r="A24" s="1">
        <v>24</v>
      </c>
      <c r="B24" s="1">
        <v>2</v>
      </c>
      <c r="C24" s="1">
        <v>20</v>
      </c>
      <c r="D24" s="4">
        <v>2</v>
      </c>
    </row>
    <row r="25" spans="1:4" x14ac:dyDescent="0.35">
      <c r="A25" s="3">
        <v>25</v>
      </c>
      <c r="B25" s="3">
        <v>2</v>
      </c>
      <c r="C25" s="3">
        <v>23</v>
      </c>
      <c r="D25" s="4">
        <v>2</v>
      </c>
    </row>
    <row r="26" spans="1:4" x14ac:dyDescent="0.35">
      <c r="A26" s="3">
        <v>27</v>
      </c>
      <c r="B26" s="1">
        <v>1</v>
      </c>
      <c r="C26" s="1">
        <v>19</v>
      </c>
      <c r="D26" s="4">
        <v>2</v>
      </c>
    </row>
    <row r="27" spans="1:4" x14ac:dyDescent="0.35">
      <c r="A27" s="1">
        <v>28</v>
      </c>
      <c r="B27" s="1">
        <v>1</v>
      </c>
      <c r="C27" s="4">
        <v>22</v>
      </c>
      <c r="D27" s="4">
        <v>2</v>
      </c>
    </row>
    <row r="28" spans="1:4" x14ac:dyDescent="0.35">
      <c r="A28" s="3">
        <v>29</v>
      </c>
      <c r="B28" s="3">
        <v>2</v>
      </c>
      <c r="C28" s="3">
        <v>20</v>
      </c>
      <c r="D28" s="4">
        <v>2</v>
      </c>
    </row>
    <row r="29" spans="1:4" x14ac:dyDescent="0.35">
      <c r="A29" s="3">
        <v>30</v>
      </c>
      <c r="B29" s="3">
        <v>2</v>
      </c>
      <c r="C29" s="3">
        <v>18</v>
      </c>
      <c r="D29" s="4">
        <v>2</v>
      </c>
    </row>
    <row r="30" spans="1:4" x14ac:dyDescent="0.35">
      <c r="A30" s="1">
        <v>31</v>
      </c>
      <c r="B30" s="1">
        <v>2</v>
      </c>
      <c r="C30" s="1">
        <v>18</v>
      </c>
      <c r="D30" s="4">
        <v>2</v>
      </c>
    </row>
    <row r="31" spans="1:4" x14ac:dyDescent="0.35">
      <c r="A31" s="3">
        <v>32</v>
      </c>
      <c r="B31" s="3">
        <v>1</v>
      </c>
      <c r="C31" s="3">
        <v>20</v>
      </c>
      <c r="D31" s="4">
        <v>2</v>
      </c>
    </row>
    <row r="32" spans="1:4" x14ac:dyDescent="0.35">
      <c r="A32" s="1">
        <v>33</v>
      </c>
      <c r="B32" s="1">
        <v>1</v>
      </c>
      <c r="C32" s="1">
        <v>20</v>
      </c>
      <c r="D32" s="4">
        <v>2</v>
      </c>
    </row>
    <row r="33" spans="1:10" x14ac:dyDescent="0.35">
      <c r="A33" s="3">
        <v>34</v>
      </c>
      <c r="B33" s="3">
        <v>1</v>
      </c>
      <c r="C33" s="3">
        <v>22</v>
      </c>
      <c r="D33" s="4">
        <v>2</v>
      </c>
      <c r="F33" s="2"/>
      <c r="G33" s="2"/>
    </row>
    <row r="34" spans="1:10" x14ac:dyDescent="0.35">
      <c r="A34" s="1">
        <v>35</v>
      </c>
      <c r="B34" s="1">
        <v>2</v>
      </c>
      <c r="C34" s="1">
        <v>22</v>
      </c>
      <c r="D34" s="4">
        <v>2</v>
      </c>
    </row>
    <row r="35" spans="1:10" x14ac:dyDescent="0.35">
      <c r="A35" s="1">
        <v>36</v>
      </c>
      <c r="B35" s="1">
        <v>1</v>
      </c>
      <c r="C35" s="1">
        <v>23</v>
      </c>
      <c r="D35" s="4">
        <v>2</v>
      </c>
      <c r="F35" s="2"/>
      <c r="G35" s="2"/>
    </row>
    <row r="36" spans="1:10" x14ac:dyDescent="0.35">
      <c r="A36" s="1">
        <v>37</v>
      </c>
      <c r="B36" s="1">
        <v>2</v>
      </c>
      <c r="C36" s="1">
        <v>29</v>
      </c>
      <c r="D36" s="4">
        <v>2</v>
      </c>
      <c r="F36" s="2"/>
      <c r="G36" s="2"/>
    </row>
    <row r="37" spans="1:10" x14ac:dyDescent="0.35">
      <c r="F37" s="3"/>
      <c r="G37" s="3"/>
    </row>
    <row r="38" spans="1:10" x14ac:dyDescent="0.35">
      <c r="F38" s="3"/>
      <c r="G38" s="3"/>
      <c r="H38" s="3"/>
      <c r="I38" s="3"/>
      <c r="J38" s="3"/>
    </row>
    <row r="39" spans="1:10" x14ac:dyDescent="0.35">
      <c r="A39" s="3"/>
    </row>
    <row r="43" spans="1:10" x14ac:dyDescent="0.35">
      <c r="F43" s="3"/>
      <c r="G43" s="3"/>
      <c r="H43" s="3"/>
      <c r="I43" s="3"/>
      <c r="J43" s="3"/>
    </row>
    <row r="44" spans="1:10" x14ac:dyDescent="0.35">
      <c r="F44" s="3"/>
      <c r="G44" s="3"/>
      <c r="H44" s="3"/>
      <c r="I44" s="3"/>
      <c r="J44" s="3"/>
    </row>
    <row r="46" spans="1:10" x14ac:dyDescent="0.35">
      <c r="F46" s="3"/>
      <c r="G46" s="3"/>
      <c r="H46" s="3"/>
      <c r="I46" s="3"/>
      <c r="J46" s="3"/>
    </row>
    <row r="48" spans="1:10" x14ac:dyDescent="0.35">
      <c r="F48" s="3"/>
      <c r="G48" s="3"/>
      <c r="H48" s="3"/>
      <c r="I48" s="3"/>
      <c r="J48" s="3"/>
    </row>
  </sheetData>
  <sortState xmlns:xlrd2="http://schemas.microsoft.com/office/spreadsheetml/2017/richdata2" ref="A2:D39">
    <sortCondition ref="A2:A39"/>
  </sortState>
  <phoneticPr fontId="1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337B40-E11C-417E-9218-06F97043BD9E}">
  <dimension ref="A1:X26"/>
  <sheetViews>
    <sheetView tabSelected="1" topLeftCell="H1" zoomScale="85" zoomScaleNormal="85" workbookViewId="0">
      <selection activeCell="T33" sqref="T33"/>
    </sheetView>
  </sheetViews>
  <sheetFormatPr defaultRowHeight="14.15" x14ac:dyDescent="0.35"/>
  <cols>
    <col min="1" max="14" width="8.92578125" style="1"/>
    <col min="15" max="24" width="9.140625" style="9"/>
  </cols>
  <sheetData>
    <row r="1" spans="1:23" x14ac:dyDescent="0.35">
      <c r="F1" s="11" t="s">
        <v>6</v>
      </c>
      <c r="G1" s="11"/>
      <c r="H1" s="11"/>
      <c r="I1" s="11"/>
      <c r="J1" s="11" t="s">
        <v>21</v>
      </c>
      <c r="K1" s="11"/>
      <c r="L1" s="11"/>
      <c r="M1" s="11"/>
      <c r="N1" s="11"/>
      <c r="O1" s="10" t="s">
        <v>29</v>
      </c>
      <c r="P1" s="10"/>
      <c r="Q1" s="10"/>
      <c r="R1" s="10" t="s">
        <v>30</v>
      </c>
      <c r="S1" s="10"/>
      <c r="T1" s="10"/>
      <c r="U1" s="10" t="s">
        <v>31</v>
      </c>
      <c r="V1" s="10"/>
      <c r="W1" s="10"/>
    </row>
    <row r="2" spans="1:23" x14ac:dyDescent="0.35">
      <c r="A2" s="1" t="s">
        <v>17</v>
      </c>
      <c r="B2" s="1" t="s">
        <v>18</v>
      </c>
      <c r="C2" s="1" t="s">
        <v>19</v>
      </c>
      <c r="D2" s="8" t="s">
        <v>24</v>
      </c>
      <c r="E2" s="1" t="s">
        <v>0</v>
      </c>
      <c r="F2" s="1" t="s">
        <v>3</v>
      </c>
      <c r="G2" s="1" t="s">
        <v>10</v>
      </c>
      <c r="H2" s="1" t="s">
        <v>11</v>
      </c>
      <c r="I2" s="1" t="s">
        <v>25</v>
      </c>
      <c r="J2" s="1" t="s">
        <v>20</v>
      </c>
      <c r="K2" s="1" t="s">
        <v>7</v>
      </c>
      <c r="L2" s="1" t="s">
        <v>5</v>
      </c>
      <c r="M2" s="1" t="s">
        <v>8</v>
      </c>
      <c r="N2" s="1" t="s">
        <v>9</v>
      </c>
      <c r="O2" s="9" t="s">
        <v>26</v>
      </c>
      <c r="P2" s="9" t="s">
        <v>27</v>
      </c>
      <c r="Q2" s="9" t="s">
        <v>28</v>
      </c>
      <c r="R2" s="9" t="s">
        <v>26</v>
      </c>
      <c r="S2" s="9" t="s">
        <v>27</v>
      </c>
      <c r="T2" s="9" t="s">
        <v>28</v>
      </c>
      <c r="U2" s="9" t="s">
        <v>26</v>
      </c>
      <c r="V2" s="9" t="s">
        <v>27</v>
      </c>
      <c r="W2" s="9" t="s">
        <v>28</v>
      </c>
    </row>
    <row r="3" spans="1:23" x14ac:dyDescent="0.35">
      <c r="A3" s="1">
        <v>5</v>
      </c>
      <c r="B3" s="1">
        <v>2</v>
      </c>
      <c r="C3" s="1">
        <v>21</v>
      </c>
      <c r="D3" s="1">
        <v>2</v>
      </c>
      <c r="E3" s="1">
        <v>62</v>
      </c>
      <c r="F3" s="1">
        <v>45</v>
      </c>
      <c r="G3" s="1">
        <v>50</v>
      </c>
      <c r="H3" s="1">
        <v>50</v>
      </c>
      <c r="I3" s="1">
        <v>50</v>
      </c>
      <c r="J3" s="1">
        <v>6</v>
      </c>
      <c r="K3" s="1" t="s">
        <v>2</v>
      </c>
      <c r="L3" s="1" t="s">
        <v>3</v>
      </c>
      <c r="M3" s="1" t="s">
        <v>4</v>
      </c>
      <c r="N3" s="1" t="s">
        <v>1</v>
      </c>
      <c r="O3" s="9">
        <v>-45</v>
      </c>
      <c r="P3" s="9">
        <v>33</v>
      </c>
      <c r="Q3" s="9">
        <v>6</v>
      </c>
      <c r="R3" s="9">
        <v>-63</v>
      </c>
      <c r="S3" s="9">
        <v>-45</v>
      </c>
      <c r="T3" s="9">
        <v>0</v>
      </c>
      <c r="U3" s="9">
        <v>-3</v>
      </c>
      <c r="V3" s="9">
        <v>36</v>
      </c>
      <c r="W3" s="9">
        <v>48</v>
      </c>
    </row>
    <row r="4" spans="1:23" x14ac:dyDescent="0.35">
      <c r="A4" s="1">
        <v>6</v>
      </c>
      <c r="B4" s="1">
        <v>1</v>
      </c>
      <c r="C4" s="1">
        <v>20</v>
      </c>
      <c r="D4" s="1">
        <v>2</v>
      </c>
      <c r="E4" s="1">
        <v>53</v>
      </c>
      <c r="F4" s="1">
        <v>43</v>
      </c>
      <c r="G4" s="1">
        <v>43</v>
      </c>
      <c r="H4" s="1">
        <v>43</v>
      </c>
      <c r="I4" s="1">
        <v>43</v>
      </c>
      <c r="J4" s="1">
        <v>15</v>
      </c>
      <c r="K4" s="1" t="s">
        <v>1</v>
      </c>
      <c r="L4" s="1" t="s">
        <v>4</v>
      </c>
      <c r="M4" s="1" t="s">
        <v>3</v>
      </c>
      <c r="N4" s="1" t="s">
        <v>2</v>
      </c>
      <c r="O4" s="9">
        <v>-51</v>
      </c>
      <c r="P4" s="9">
        <v>39</v>
      </c>
      <c r="Q4" s="9">
        <v>3</v>
      </c>
      <c r="R4" s="9">
        <v>-60</v>
      </c>
      <c r="S4" s="9">
        <v>-51</v>
      </c>
      <c r="T4" s="9">
        <v>0</v>
      </c>
      <c r="U4" s="9">
        <v>-3</v>
      </c>
      <c r="V4" s="9">
        <v>48</v>
      </c>
      <c r="W4" s="9">
        <v>39</v>
      </c>
    </row>
    <row r="5" spans="1:23" x14ac:dyDescent="0.35">
      <c r="A5" s="1">
        <v>7</v>
      </c>
      <c r="B5" s="1">
        <v>2</v>
      </c>
      <c r="C5" s="1">
        <v>19</v>
      </c>
      <c r="D5" s="1">
        <v>2</v>
      </c>
      <c r="E5" s="1">
        <v>53</v>
      </c>
      <c r="F5" s="1">
        <v>41</v>
      </c>
      <c r="G5" s="1">
        <v>43</v>
      </c>
      <c r="H5" s="1">
        <v>43</v>
      </c>
      <c r="I5" s="1">
        <v>43</v>
      </c>
      <c r="J5" s="1">
        <v>9</v>
      </c>
      <c r="K5" s="1" t="s">
        <v>2</v>
      </c>
      <c r="L5" s="1" t="s">
        <v>3</v>
      </c>
      <c r="M5" s="1" t="s">
        <v>4</v>
      </c>
      <c r="N5" s="1" t="s">
        <v>1</v>
      </c>
      <c r="O5" s="9">
        <v>-51</v>
      </c>
      <c r="P5" s="9">
        <v>36</v>
      </c>
      <c r="Q5" s="9">
        <v>3</v>
      </c>
      <c r="R5" s="9">
        <v>-54</v>
      </c>
      <c r="S5" s="9">
        <v>-51</v>
      </c>
      <c r="T5" s="9">
        <v>9</v>
      </c>
      <c r="U5" s="9">
        <v>-6</v>
      </c>
      <c r="V5" s="9">
        <v>51</v>
      </c>
      <c r="W5" s="9">
        <v>36</v>
      </c>
    </row>
    <row r="6" spans="1:23" x14ac:dyDescent="0.35">
      <c r="A6" s="1">
        <v>8</v>
      </c>
      <c r="B6" s="1">
        <v>1</v>
      </c>
      <c r="C6" s="1">
        <v>24</v>
      </c>
      <c r="D6" s="1">
        <v>2</v>
      </c>
      <c r="E6" s="1">
        <v>53</v>
      </c>
      <c r="F6" s="1">
        <v>43</v>
      </c>
      <c r="G6" s="1">
        <v>43</v>
      </c>
      <c r="H6" s="1">
        <v>43</v>
      </c>
      <c r="I6" s="1">
        <v>43</v>
      </c>
      <c r="J6" s="1">
        <v>16</v>
      </c>
      <c r="K6" s="1" t="s">
        <v>4</v>
      </c>
      <c r="L6" s="1" t="s">
        <v>3</v>
      </c>
      <c r="M6" s="1" t="s">
        <v>2</v>
      </c>
      <c r="N6" s="1" t="s">
        <v>1</v>
      </c>
      <c r="O6" s="9">
        <v>-51</v>
      </c>
      <c r="P6" s="9">
        <v>39</v>
      </c>
      <c r="Q6" s="9">
        <v>0</v>
      </c>
      <c r="R6" s="9">
        <v>-63</v>
      </c>
      <c r="S6" s="9">
        <v>-51</v>
      </c>
      <c r="T6" s="9">
        <v>-3</v>
      </c>
      <c r="U6" s="9">
        <v>-6</v>
      </c>
      <c r="V6" s="9">
        <v>42</v>
      </c>
      <c r="W6" s="9">
        <v>42</v>
      </c>
    </row>
    <row r="7" spans="1:23" x14ac:dyDescent="0.35">
      <c r="A7" s="1">
        <v>10</v>
      </c>
      <c r="B7" s="1">
        <v>1</v>
      </c>
      <c r="C7" s="1">
        <v>22</v>
      </c>
      <c r="D7" s="1">
        <v>2</v>
      </c>
      <c r="E7" s="1">
        <v>51</v>
      </c>
      <c r="F7" s="1">
        <v>41</v>
      </c>
      <c r="G7" s="1">
        <v>40</v>
      </c>
      <c r="H7" s="1">
        <v>41</v>
      </c>
      <c r="I7" s="1">
        <v>41</v>
      </c>
      <c r="J7" s="1">
        <v>12</v>
      </c>
      <c r="K7" s="1" t="s">
        <v>1</v>
      </c>
      <c r="L7" s="1" t="s">
        <v>2</v>
      </c>
      <c r="M7" s="1" t="s">
        <v>3</v>
      </c>
      <c r="N7" s="1" t="s">
        <v>4</v>
      </c>
      <c r="O7" s="9">
        <v>-45</v>
      </c>
      <c r="P7" s="9">
        <v>33</v>
      </c>
      <c r="Q7" s="9">
        <v>-6</v>
      </c>
      <c r="R7" s="9">
        <v>-63</v>
      </c>
      <c r="S7" s="9">
        <v>-45</v>
      </c>
      <c r="T7" s="9">
        <v>-3</v>
      </c>
      <c r="U7" s="9">
        <v>-6</v>
      </c>
      <c r="V7" s="9">
        <v>51</v>
      </c>
      <c r="W7" s="9">
        <v>33</v>
      </c>
    </row>
    <row r="8" spans="1:23" x14ac:dyDescent="0.35">
      <c r="A8" s="1">
        <v>11</v>
      </c>
      <c r="B8" s="1">
        <v>2</v>
      </c>
      <c r="C8" s="1">
        <v>20</v>
      </c>
      <c r="D8" s="1">
        <v>2</v>
      </c>
      <c r="E8" s="1">
        <v>58</v>
      </c>
      <c r="F8" s="1">
        <v>47</v>
      </c>
      <c r="G8" s="1">
        <v>47</v>
      </c>
      <c r="H8" s="1">
        <v>47</v>
      </c>
      <c r="I8" s="1">
        <v>47</v>
      </c>
      <c r="J8" s="1">
        <v>7</v>
      </c>
      <c r="K8" s="1" t="s">
        <v>3</v>
      </c>
      <c r="L8" s="1" t="s">
        <v>4</v>
      </c>
      <c r="M8" s="1" t="s">
        <v>1</v>
      </c>
      <c r="N8" s="1" t="s">
        <v>2</v>
      </c>
      <c r="O8" s="9">
        <v>-54</v>
      </c>
      <c r="P8" s="9">
        <v>33</v>
      </c>
      <c r="Q8" s="9">
        <v>-3</v>
      </c>
      <c r="R8" s="9">
        <v>-57</v>
      </c>
      <c r="S8" s="9">
        <v>-39</v>
      </c>
      <c r="T8" s="9">
        <v>-6</v>
      </c>
      <c r="U8" s="9">
        <v>-6</v>
      </c>
      <c r="V8" s="9">
        <v>39</v>
      </c>
      <c r="W8" s="9">
        <v>42</v>
      </c>
    </row>
    <row r="9" spans="1:23" x14ac:dyDescent="0.35">
      <c r="A9" s="1">
        <v>12</v>
      </c>
      <c r="B9" s="1">
        <v>2</v>
      </c>
      <c r="C9" s="1">
        <v>22</v>
      </c>
      <c r="D9" s="1">
        <v>2</v>
      </c>
      <c r="E9" s="1">
        <v>53</v>
      </c>
      <c r="F9" s="1">
        <v>43</v>
      </c>
      <c r="G9" s="1">
        <v>43</v>
      </c>
      <c r="H9" s="1">
        <v>43</v>
      </c>
      <c r="I9" s="1">
        <v>43</v>
      </c>
      <c r="J9" s="1">
        <v>22</v>
      </c>
      <c r="K9" s="1" t="s">
        <v>4</v>
      </c>
      <c r="L9" s="1" t="s">
        <v>3</v>
      </c>
      <c r="M9" s="1" t="s">
        <v>2</v>
      </c>
      <c r="N9" s="1" t="s">
        <v>1</v>
      </c>
      <c r="O9" s="9">
        <v>-45</v>
      </c>
      <c r="P9" s="9">
        <v>33</v>
      </c>
      <c r="Q9" s="9">
        <v>-3</v>
      </c>
      <c r="R9" s="9">
        <v>-57</v>
      </c>
      <c r="S9" s="9">
        <v>-42</v>
      </c>
      <c r="T9" s="9">
        <v>-9</v>
      </c>
      <c r="U9" s="9">
        <v>-3</v>
      </c>
      <c r="V9" s="9">
        <v>33</v>
      </c>
      <c r="W9" s="9">
        <v>48</v>
      </c>
    </row>
    <row r="10" spans="1:23" x14ac:dyDescent="0.35">
      <c r="A10" s="1">
        <v>13</v>
      </c>
      <c r="B10" s="1">
        <v>1</v>
      </c>
      <c r="C10" s="1">
        <v>24</v>
      </c>
      <c r="D10" s="1">
        <v>2</v>
      </c>
      <c r="E10" s="1">
        <v>48</v>
      </c>
      <c r="F10" s="1">
        <v>39</v>
      </c>
      <c r="G10" s="1">
        <v>39</v>
      </c>
      <c r="H10" s="1">
        <v>39</v>
      </c>
      <c r="I10" s="1">
        <v>39</v>
      </c>
      <c r="J10" s="1">
        <v>13</v>
      </c>
      <c r="K10" s="1" t="s">
        <v>3</v>
      </c>
      <c r="L10" s="1" t="s">
        <v>2</v>
      </c>
      <c r="M10" s="1" t="s">
        <v>1</v>
      </c>
      <c r="N10" s="1" t="s">
        <v>4</v>
      </c>
      <c r="O10" s="9">
        <v>-51</v>
      </c>
      <c r="P10" s="9">
        <v>33</v>
      </c>
      <c r="Q10" s="9">
        <v>6</v>
      </c>
      <c r="R10" s="9">
        <v>-57</v>
      </c>
      <c r="S10" s="9">
        <v>-54</v>
      </c>
      <c r="T10" s="9">
        <v>-3</v>
      </c>
      <c r="U10" s="9">
        <v>-3</v>
      </c>
      <c r="V10" s="9">
        <v>33</v>
      </c>
      <c r="W10" s="9">
        <v>42</v>
      </c>
    </row>
    <row r="11" spans="1:23" x14ac:dyDescent="0.35">
      <c r="A11" s="1">
        <v>15</v>
      </c>
      <c r="B11" s="3">
        <v>2</v>
      </c>
      <c r="C11" s="3">
        <v>18</v>
      </c>
      <c r="D11" s="1">
        <v>2</v>
      </c>
      <c r="E11" s="3">
        <v>52</v>
      </c>
      <c r="F11" s="3">
        <v>42</v>
      </c>
      <c r="G11" s="1">
        <v>42</v>
      </c>
      <c r="H11" s="1">
        <v>42</v>
      </c>
      <c r="I11" s="3">
        <v>42</v>
      </c>
      <c r="J11" s="1">
        <v>3</v>
      </c>
      <c r="K11" s="1" t="s">
        <v>1</v>
      </c>
      <c r="L11" s="1" t="s">
        <v>2</v>
      </c>
      <c r="M11" s="1" t="s">
        <v>4</v>
      </c>
      <c r="N11" s="1" t="s">
        <v>3</v>
      </c>
      <c r="O11" s="9">
        <v>-48</v>
      </c>
      <c r="P11" s="9">
        <v>33</v>
      </c>
      <c r="Q11" s="9">
        <v>6</v>
      </c>
      <c r="R11" s="9">
        <v>-51</v>
      </c>
      <c r="S11" s="9">
        <v>-45</v>
      </c>
      <c r="T11" s="9">
        <v>9</v>
      </c>
      <c r="U11" s="9">
        <v>-6</v>
      </c>
      <c r="V11" s="9">
        <v>33</v>
      </c>
      <c r="W11" s="9">
        <v>57</v>
      </c>
    </row>
    <row r="12" spans="1:23" x14ac:dyDescent="0.35">
      <c r="A12" s="1">
        <v>16</v>
      </c>
      <c r="B12" s="1">
        <v>1</v>
      </c>
      <c r="C12" s="1">
        <v>22</v>
      </c>
      <c r="D12" s="1">
        <v>2</v>
      </c>
      <c r="E12" s="1">
        <v>52</v>
      </c>
      <c r="F12" s="1">
        <v>42</v>
      </c>
      <c r="G12" s="1">
        <v>42</v>
      </c>
      <c r="H12" s="1">
        <v>42</v>
      </c>
      <c r="I12" s="1">
        <v>42</v>
      </c>
      <c r="J12" s="1">
        <v>1</v>
      </c>
      <c r="K12" s="1" t="s">
        <v>4</v>
      </c>
      <c r="L12" s="1" t="s">
        <v>3</v>
      </c>
      <c r="M12" s="1" t="s">
        <v>1</v>
      </c>
      <c r="N12" s="1" t="s">
        <v>2</v>
      </c>
      <c r="O12" s="9">
        <v>-51</v>
      </c>
      <c r="P12" s="9">
        <v>24</v>
      </c>
      <c r="Q12" s="9">
        <v>6</v>
      </c>
      <c r="R12" s="9">
        <v>-51</v>
      </c>
      <c r="S12" s="9">
        <v>-42</v>
      </c>
      <c r="T12" s="9">
        <v>0</v>
      </c>
      <c r="U12" s="9">
        <v>-6</v>
      </c>
      <c r="V12" s="9">
        <v>33</v>
      </c>
      <c r="W12" s="9">
        <v>46</v>
      </c>
    </row>
    <row r="13" spans="1:23" x14ac:dyDescent="0.35">
      <c r="A13" s="1">
        <v>19</v>
      </c>
      <c r="B13" s="1">
        <v>2</v>
      </c>
      <c r="C13" s="1">
        <v>21</v>
      </c>
      <c r="D13" s="1">
        <v>2</v>
      </c>
      <c r="E13" s="1">
        <v>60</v>
      </c>
      <c r="F13" s="1">
        <v>48</v>
      </c>
      <c r="G13" s="1">
        <v>48</v>
      </c>
      <c r="H13" s="1">
        <v>48</v>
      </c>
      <c r="I13" s="1">
        <v>48</v>
      </c>
      <c r="J13" s="1">
        <v>8</v>
      </c>
      <c r="K13" s="1" t="s">
        <v>4</v>
      </c>
      <c r="L13" s="1" t="s">
        <v>1</v>
      </c>
      <c r="M13" s="1" t="s">
        <v>2</v>
      </c>
      <c r="N13" s="1" t="s">
        <v>3</v>
      </c>
      <c r="O13" s="9">
        <v>-54</v>
      </c>
      <c r="P13" s="9">
        <v>33</v>
      </c>
      <c r="Q13" s="9">
        <v>-3</v>
      </c>
      <c r="R13" s="9">
        <v>-57</v>
      </c>
      <c r="S13" s="9">
        <v>-48</v>
      </c>
      <c r="T13" s="9">
        <v>-6</v>
      </c>
      <c r="U13" s="9">
        <v>-3</v>
      </c>
      <c r="V13" s="9">
        <v>39</v>
      </c>
      <c r="W13" s="9">
        <v>42</v>
      </c>
    </row>
    <row r="14" spans="1:23" x14ac:dyDescent="0.35">
      <c r="A14" s="1">
        <v>23</v>
      </c>
      <c r="B14" s="1">
        <v>1</v>
      </c>
      <c r="C14" s="1">
        <v>20</v>
      </c>
      <c r="D14" s="1">
        <v>2</v>
      </c>
      <c r="E14" s="1">
        <v>48</v>
      </c>
      <c r="F14" s="1">
        <v>38</v>
      </c>
      <c r="G14" s="1">
        <v>38</v>
      </c>
      <c r="H14" s="1">
        <v>38</v>
      </c>
      <c r="I14" s="1">
        <v>38</v>
      </c>
      <c r="J14" s="1">
        <v>10</v>
      </c>
      <c r="K14" s="1" t="s">
        <v>3</v>
      </c>
      <c r="L14" s="1" t="s">
        <v>4</v>
      </c>
      <c r="M14" s="1" t="s">
        <v>1</v>
      </c>
      <c r="N14" s="1" t="s">
        <v>2</v>
      </c>
      <c r="O14" s="9">
        <v>-51</v>
      </c>
      <c r="P14" s="9">
        <v>33</v>
      </c>
      <c r="Q14" s="9">
        <v>12</v>
      </c>
      <c r="R14" s="9">
        <v>-60</v>
      </c>
      <c r="S14" s="9">
        <v>-54</v>
      </c>
      <c r="T14" s="9">
        <v>-6</v>
      </c>
      <c r="U14" s="9">
        <v>-3</v>
      </c>
      <c r="V14" s="9">
        <v>33</v>
      </c>
      <c r="W14" s="9">
        <v>39</v>
      </c>
    </row>
    <row r="15" spans="1:23" x14ac:dyDescent="0.35">
      <c r="A15" s="1">
        <v>27</v>
      </c>
      <c r="B15" s="1">
        <v>1</v>
      </c>
      <c r="C15" s="1">
        <v>20</v>
      </c>
      <c r="D15" s="1">
        <v>2</v>
      </c>
      <c r="E15" s="1">
        <v>61</v>
      </c>
      <c r="F15" s="1">
        <v>49</v>
      </c>
      <c r="G15" s="1">
        <v>49</v>
      </c>
      <c r="H15" s="1">
        <v>49</v>
      </c>
      <c r="I15" s="1">
        <v>49</v>
      </c>
      <c r="J15" s="1">
        <v>5</v>
      </c>
      <c r="K15" s="1" t="s">
        <v>1</v>
      </c>
      <c r="L15" s="1" t="s">
        <v>2</v>
      </c>
      <c r="M15" s="1" t="s">
        <v>3</v>
      </c>
      <c r="N15" s="1" t="s">
        <v>4</v>
      </c>
      <c r="O15" s="9">
        <v>-48</v>
      </c>
      <c r="P15" s="9">
        <v>33</v>
      </c>
      <c r="Q15" s="9">
        <v>12</v>
      </c>
      <c r="R15" s="9">
        <v>-51</v>
      </c>
      <c r="S15" s="9">
        <v>-54</v>
      </c>
      <c r="T15" s="9">
        <v>-3</v>
      </c>
      <c r="U15" s="9">
        <v>-6</v>
      </c>
      <c r="V15" s="9">
        <v>39</v>
      </c>
      <c r="W15" s="9">
        <v>42</v>
      </c>
    </row>
    <row r="16" spans="1:23" x14ac:dyDescent="0.35">
      <c r="A16" s="1">
        <v>29</v>
      </c>
      <c r="B16" s="3">
        <v>2</v>
      </c>
      <c r="C16" s="3">
        <v>20</v>
      </c>
      <c r="D16" s="1">
        <v>2</v>
      </c>
      <c r="E16" s="3">
        <v>62</v>
      </c>
      <c r="F16" s="3">
        <v>50</v>
      </c>
      <c r="G16" s="1">
        <v>50</v>
      </c>
      <c r="H16" s="1">
        <v>50</v>
      </c>
      <c r="I16" s="3">
        <v>50</v>
      </c>
      <c r="J16" s="1">
        <v>11</v>
      </c>
      <c r="K16" s="1" t="s">
        <v>4</v>
      </c>
      <c r="L16" s="1" t="s">
        <v>1</v>
      </c>
      <c r="M16" s="1" t="s">
        <v>2</v>
      </c>
      <c r="N16" s="1" t="s">
        <v>3</v>
      </c>
      <c r="O16" s="9">
        <v>-54</v>
      </c>
      <c r="P16" s="9">
        <v>24</v>
      </c>
      <c r="Q16" s="9">
        <v>9</v>
      </c>
      <c r="R16" s="9">
        <v>-69</v>
      </c>
      <c r="S16" s="9">
        <v>-33</v>
      </c>
      <c r="T16" s="9">
        <v>0</v>
      </c>
      <c r="U16" s="9">
        <v>-6</v>
      </c>
      <c r="V16" s="9">
        <v>60</v>
      </c>
      <c r="W16" s="9">
        <v>27</v>
      </c>
    </row>
    <row r="17" spans="1:23" x14ac:dyDescent="0.35">
      <c r="A17" s="1">
        <v>30</v>
      </c>
      <c r="B17" s="3">
        <v>2</v>
      </c>
      <c r="C17" s="3">
        <v>18</v>
      </c>
      <c r="D17" s="1">
        <v>2</v>
      </c>
      <c r="E17" s="3">
        <v>61</v>
      </c>
      <c r="F17" s="3">
        <v>49</v>
      </c>
      <c r="G17" s="1">
        <v>49</v>
      </c>
      <c r="H17" s="1">
        <v>49</v>
      </c>
      <c r="I17" s="3">
        <v>49</v>
      </c>
      <c r="J17" s="1">
        <v>2</v>
      </c>
      <c r="K17" s="1" t="s">
        <v>3</v>
      </c>
      <c r="L17" s="1" t="s">
        <v>1</v>
      </c>
      <c r="M17" s="1" t="s">
        <v>2</v>
      </c>
      <c r="N17" s="1" t="s">
        <v>4</v>
      </c>
      <c r="O17" s="9">
        <v>-45</v>
      </c>
      <c r="P17" s="9">
        <v>24</v>
      </c>
      <c r="Q17" s="9">
        <v>15</v>
      </c>
      <c r="R17" s="9">
        <v>-51</v>
      </c>
      <c r="S17" s="9">
        <v>-39</v>
      </c>
      <c r="T17" s="9">
        <v>0</v>
      </c>
      <c r="U17" s="9">
        <v>-3</v>
      </c>
      <c r="V17" s="9">
        <v>30</v>
      </c>
      <c r="W17" s="9">
        <v>48</v>
      </c>
    </row>
    <row r="18" spans="1:23" x14ac:dyDescent="0.35">
      <c r="A18" s="1">
        <v>31</v>
      </c>
      <c r="B18" s="1">
        <v>2</v>
      </c>
      <c r="C18" s="1">
        <v>19</v>
      </c>
      <c r="D18" s="1">
        <v>2</v>
      </c>
      <c r="E18" s="1">
        <v>62</v>
      </c>
      <c r="F18" s="1">
        <v>46</v>
      </c>
      <c r="G18" s="1">
        <v>50</v>
      </c>
      <c r="H18" s="1">
        <v>47</v>
      </c>
      <c r="I18" s="1">
        <v>50</v>
      </c>
      <c r="J18" s="1">
        <v>20</v>
      </c>
      <c r="K18" s="1" t="s">
        <v>4</v>
      </c>
      <c r="L18" s="1" t="s">
        <v>3</v>
      </c>
      <c r="M18" s="1" t="s">
        <v>1</v>
      </c>
      <c r="N18" s="1" t="s">
        <v>2</v>
      </c>
      <c r="O18" s="9">
        <v>-48</v>
      </c>
      <c r="P18" s="9">
        <v>27</v>
      </c>
      <c r="Q18" s="9">
        <v>15</v>
      </c>
      <c r="R18" s="9">
        <v>-60</v>
      </c>
      <c r="S18" s="9">
        <v>-48</v>
      </c>
      <c r="T18" s="9">
        <v>-9</v>
      </c>
      <c r="U18" s="9">
        <v>-6</v>
      </c>
      <c r="V18" s="9">
        <v>30</v>
      </c>
      <c r="W18" s="9">
        <v>45</v>
      </c>
    </row>
    <row r="19" spans="1:23" x14ac:dyDescent="0.35">
      <c r="A19" s="1">
        <v>32</v>
      </c>
      <c r="B19" s="3">
        <v>1</v>
      </c>
      <c r="C19" s="3">
        <v>20</v>
      </c>
      <c r="D19" s="1">
        <v>2</v>
      </c>
      <c r="E19" s="3">
        <v>48</v>
      </c>
      <c r="F19" s="3">
        <v>38</v>
      </c>
      <c r="G19" s="1">
        <v>38</v>
      </c>
      <c r="H19" s="1">
        <v>38</v>
      </c>
      <c r="I19" s="3">
        <v>38</v>
      </c>
      <c r="J19" s="1">
        <v>4</v>
      </c>
      <c r="K19" s="1" t="s">
        <v>2</v>
      </c>
      <c r="L19" s="1" t="s">
        <v>4</v>
      </c>
      <c r="M19" s="1" t="s">
        <v>3</v>
      </c>
      <c r="N19" s="1" t="s">
        <v>1</v>
      </c>
      <c r="O19" s="9">
        <v>-45</v>
      </c>
      <c r="P19" s="9">
        <v>27</v>
      </c>
      <c r="Q19" s="9">
        <v>6</v>
      </c>
      <c r="R19" s="9">
        <v>-60</v>
      </c>
      <c r="S19" s="9">
        <v>-51</v>
      </c>
      <c r="T19" s="9">
        <v>3</v>
      </c>
      <c r="U19" s="9">
        <v>-3</v>
      </c>
      <c r="V19" s="9">
        <v>42</v>
      </c>
      <c r="W19" s="9">
        <v>39</v>
      </c>
    </row>
    <row r="20" spans="1:23" x14ac:dyDescent="0.35">
      <c r="A20" s="1">
        <v>33</v>
      </c>
      <c r="B20" s="1">
        <v>1</v>
      </c>
      <c r="C20" s="1">
        <v>20</v>
      </c>
      <c r="D20" s="1">
        <v>2</v>
      </c>
      <c r="E20" s="1">
        <v>58</v>
      </c>
      <c r="F20" s="1">
        <v>47</v>
      </c>
      <c r="G20" s="1">
        <v>47</v>
      </c>
      <c r="H20" s="1">
        <v>47</v>
      </c>
      <c r="I20" s="1">
        <v>47</v>
      </c>
      <c r="J20" s="1">
        <v>14</v>
      </c>
      <c r="K20" s="1" t="s">
        <v>2</v>
      </c>
      <c r="L20" s="1" t="s">
        <v>1</v>
      </c>
      <c r="M20" s="1" t="s">
        <v>4</v>
      </c>
      <c r="N20" s="1" t="s">
        <v>3</v>
      </c>
      <c r="O20" s="9">
        <v>-54</v>
      </c>
      <c r="P20" s="9">
        <v>27</v>
      </c>
      <c r="Q20" s="9">
        <v>21</v>
      </c>
      <c r="R20" s="9">
        <v>-63</v>
      </c>
      <c r="S20" s="9">
        <v>-45</v>
      </c>
      <c r="T20" s="9">
        <v>0</v>
      </c>
      <c r="U20" s="9">
        <v>-9</v>
      </c>
      <c r="V20" s="9">
        <v>39</v>
      </c>
      <c r="W20" s="9">
        <v>42</v>
      </c>
    </row>
    <row r="21" spans="1:23" x14ac:dyDescent="0.35">
      <c r="A21" s="1">
        <v>34</v>
      </c>
      <c r="B21" s="3">
        <v>1</v>
      </c>
      <c r="C21" s="3">
        <v>23</v>
      </c>
      <c r="D21" s="1">
        <v>2</v>
      </c>
      <c r="E21" s="3">
        <v>55</v>
      </c>
      <c r="F21" s="3">
        <v>44</v>
      </c>
      <c r="G21" s="1">
        <v>44</v>
      </c>
      <c r="H21" s="1">
        <v>44</v>
      </c>
      <c r="I21" s="3">
        <v>44</v>
      </c>
      <c r="J21" s="1">
        <v>17</v>
      </c>
      <c r="K21" s="1" t="s">
        <v>3</v>
      </c>
      <c r="L21" s="1" t="s">
        <v>1</v>
      </c>
      <c r="M21" s="1" t="s">
        <v>2</v>
      </c>
      <c r="N21" s="1" t="s">
        <v>4</v>
      </c>
      <c r="O21" s="9">
        <v>-51</v>
      </c>
      <c r="P21" s="9">
        <v>24</v>
      </c>
      <c r="Q21" s="9">
        <v>18</v>
      </c>
      <c r="R21" s="9">
        <v>-60</v>
      </c>
      <c r="S21" s="9">
        <v>-51</v>
      </c>
      <c r="T21" s="9">
        <v>6</v>
      </c>
      <c r="U21" s="9">
        <v>-3</v>
      </c>
      <c r="V21" s="9">
        <v>27</v>
      </c>
      <c r="W21" s="9">
        <v>45</v>
      </c>
    </row>
    <row r="22" spans="1:23" x14ac:dyDescent="0.35">
      <c r="A22" s="1">
        <v>35</v>
      </c>
      <c r="B22" s="1">
        <v>2</v>
      </c>
      <c r="C22" s="1">
        <v>23</v>
      </c>
      <c r="D22" s="1">
        <v>2</v>
      </c>
      <c r="E22" s="1">
        <v>60</v>
      </c>
      <c r="F22" s="1">
        <v>48</v>
      </c>
      <c r="G22" s="1">
        <v>48</v>
      </c>
      <c r="H22" s="1">
        <v>48</v>
      </c>
      <c r="I22" s="1">
        <v>48</v>
      </c>
      <c r="J22" s="1">
        <v>18</v>
      </c>
      <c r="K22" s="1" t="s">
        <v>1</v>
      </c>
      <c r="L22" s="1" t="s">
        <v>2</v>
      </c>
      <c r="M22" s="1" t="s">
        <v>4</v>
      </c>
      <c r="N22" s="1" t="s">
        <v>3</v>
      </c>
      <c r="O22" s="9">
        <v>-51</v>
      </c>
      <c r="P22" s="9">
        <v>24</v>
      </c>
      <c r="Q22" s="9">
        <v>0</v>
      </c>
      <c r="R22" s="9">
        <v>-60</v>
      </c>
      <c r="S22" s="9">
        <v>-51</v>
      </c>
      <c r="T22" s="9">
        <v>6</v>
      </c>
      <c r="U22" s="9">
        <v>-3</v>
      </c>
      <c r="V22" s="9">
        <v>27</v>
      </c>
      <c r="W22" s="9">
        <v>45</v>
      </c>
    </row>
    <row r="23" spans="1:23" x14ac:dyDescent="0.35">
      <c r="A23" s="1">
        <v>36</v>
      </c>
      <c r="B23" s="1">
        <v>1</v>
      </c>
      <c r="C23" s="1">
        <v>23</v>
      </c>
      <c r="D23" s="1">
        <v>2</v>
      </c>
      <c r="E23" s="1">
        <v>55</v>
      </c>
      <c r="F23" s="1">
        <v>44</v>
      </c>
      <c r="G23" s="1">
        <v>44</v>
      </c>
      <c r="H23" s="1">
        <v>44</v>
      </c>
      <c r="I23" s="1">
        <v>44</v>
      </c>
      <c r="J23" s="1">
        <v>19</v>
      </c>
      <c r="K23" s="1" t="s">
        <v>2</v>
      </c>
      <c r="L23" s="1" t="s">
        <v>4</v>
      </c>
      <c r="M23" s="1" t="s">
        <v>3</v>
      </c>
      <c r="N23" s="1" t="s">
        <v>1</v>
      </c>
      <c r="O23" s="9">
        <v>-57</v>
      </c>
      <c r="P23" s="9">
        <v>24</v>
      </c>
      <c r="Q23" s="9">
        <v>18</v>
      </c>
      <c r="R23" s="9">
        <v>-61</v>
      </c>
      <c r="S23" s="9">
        <v>-54</v>
      </c>
      <c r="T23" s="9">
        <v>0</v>
      </c>
      <c r="U23" s="9">
        <v>-3</v>
      </c>
      <c r="V23" s="9">
        <v>27</v>
      </c>
      <c r="W23" s="9">
        <v>48</v>
      </c>
    </row>
    <row r="24" spans="1:23" x14ac:dyDescent="0.35">
      <c r="A24" s="1">
        <v>37</v>
      </c>
      <c r="B24" s="1">
        <v>2</v>
      </c>
      <c r="C24" s="1">
        <v>29</v>
      </c>
      <c r="D24" s="1">
        <v>2</v>
      </c>
      <c r="E24" s="1">
        <v>58</v>
      </c>
      <c r="F24" s="1">
        <v>44</v>
      </c>
      <c r="G24" s="1">
        <v>46</v>
      </c>
      <c r="H24" s="1">
        <v>46</v>
      </c>
      <c r="I24" s="1">
        <v>46</v>
      </c>
      <c r="J24" s="1">
        <v>21</v>
      </c>
      <c r="K24" s="1" t="s">
        <v>1</v>
      </c>
      <c r="L24" s="1" t="s">
        <v>4</v>
      </c>
      <c r="M24" s="1" t="s">
        <v>3</v>
      </c>
      <c r="N24" s="1" t="s">
        <v>2</v>
      </c>
      <c r="O24" s="9">
        <v>-45</v>
      </c>
      <c r="P24" s="9">
        <v>33</v>
      </c>
      <c r="Q24" s="9">
        <v>-6</v>
      </c>
      <c r="R24" s="9">
        <v>-60</v>
      </c>
      <c r="S24" s="9">
        <v>-39</v>
      </c>
      <c r="T24" s="9">
        <v>0</v>
      </c>
      <c r="U24" s="9">
        <v>-3</v>
      </c>
      <c r="V24" s="9">
        <v>27</v>
      </c>
      <c r="W24" s="9">
        <v>45</v>
      </c>
    </row>
    <row r="25" spans="1:23" x14ac:dyDescent="0.35">
      <c r="O25" s="9">
        <f>AVERAGE(O3:O24)</f>
        <v>-49.772727272727273</v>
      </c>
      <c r="P25" s="9">
        <f t="shared" ref="P25:W25" si="0">AVERAGE(P3:P24)</f>
        <v>30.40909090909091</v>
      </c>
      <c r="Q25" s="9">
        <f t="shared" si="0"/>
        <v>6.1363636363636367</v>
      </c>
      <c r="R25" s="9">
        <f t="shared" si="0"/>
        <v>-58.545454545454547</v>
      </c>
      <c r="S25" s="9">
        <f t="shared" si="0"/>
        <v>-46.909090909090907</v>
      </c>
      <c r="T25" s="9">
        <f t="shared" si="0"/>
        <v>-0.68181818181818177</v>
      </c>
      <c r="U25" s="9">
        <f t="shared" si="0"/>
        <v>-4.5</v>
      </c>
      <c r="V25" s="9">
        <f t="shared" si="0"/>
        <v>37.227272727272727</v>
      </c>
      <c r="W25" s="9">
        <f t="shared" si="0"/>
        <v>42.727272727272727</v>
      </c>
    </row>
    <row r="26" spans="1:23" x14ac:dyDescent="0.35">
      <c r="O26" s="9">
        <f>_xlfn.STDEV.S(O3:O24)</f>
        <v>3.6636154167813415</v>
      </c>
      <c r="P26" s="9">
        <f t="shared" ref="P26:W26" si="1">_xlfn.STDEV.S(P3:P24)</f>
        <v>5.0110268020027124</v>
      </c>
      <c r="Q26" s="9">
        <f t="shared" si="1"/>
        <v>8.0964157534027397</v>
      </c>
      <c r="R26" s="9">
        <f t="shared" si="1"/>
        <v>4.7180229185263887</v>
      </c>
      <c r="S26" s="9">
        <f t="shared" si="1"/>
        <v>5.9674441438851948</v>
      </c>
      <c r="T26" s="9">
        <f t="shared" si="1"/>
        <v>5.0651598351724454</v>
      </c>
      <c r="U26" s="9">
        <f t="shared" si="1"/>
        <v>1.7928429140015905</v>
      </c>
      <c r="V26" s="9">
        <f t="shared" si="1"/>
        <v>8.9598672299996025</v>
      </c>
      <c r="W26" s="9">
        <f t="shared" si="1"/>
        <v>6.0880978199216891</v>
      </c>
    </row>
  </sheetData>
  <mergeCells count="5">
    <mergeCell ref="U1:W1"/>
    <mergeCell ref="J1:N1"/>
    <mergeCell ref="F1:I1"/>
    <mergeCell ref="O1:Q1"/>
    <mergeCell ref="R1:T1"/>
  </mergeCells>
  <phoneticPr fontId="1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4C20726-E934-465F-A9C0-DA13A437070D}">
  <dimension ref="A1:F24"/>
  <sheetViews>
    <sheetView zoomScale="85" zoomScaleNormal="85" workbookViewId="0">
      <selection activeCell="H21" sqref="H21"/>
    </sheetView>
  </sheetViews>
  <sheetFormatPr defaultRowHeight="14.15" x14ac:dyDescent="0.35"/>
  <cols>
    <col min="1" max="5" width="8.92578125" style="1"/>
  </cols>
  <sheetData>
    <row r="1" spans="1:6" x14ac:dyDescent="0.35">
      <c r="A1" s="11" t="s">
        <v>21</v>
      </c>
      <c r="B1" s="11"/>
      <c r="C1" s="11"/>
      <c r="D1" s="11"/>
      <c r="E1" s="11"/>
    </row>
    <row r="2" spans="1:6" x14ac:dyDescent="0.35">
      <c r="A2" s="1" t="s">
        <v>20</v>
      </c>
      <c r="B2" s="1" t="s">
        <v>7</v>
      </c>
      <c r="C2" s="1" t="s">
        <v>5</v>
      </c>
      <c r="D2" s="1" t="s">
        <v>8</v>
      </c>
      <c r="E2" s="1" t="s">
        <v>9</v>
      </c>
    </row>
    <row r="3" spans="1:6" x14ac:dyDescent="0.35">
      <c r="A3" s="1">
        <v>1</v>
      </c>
      <c r="B3" s="1" t="s">
        <v>4</v>
      </c>
      <c r="C3" s="1" t="s">
        <v>3</v>
      </c>
      <c r="D3" s="1" t="s">
        <v>1</v>
      </c>
      <c r="E3" s="1" t="s">
        <v>2</v>
      </c>
    </row>
    <row r="4" spans="1:6" x14ac:dyDescent="0.35">
      <c r="A4" s="1">
        <v>2</v>
      </c>
      <c r="B4" s="1" t="s">
        <v>3</v>
      </c>
      <c r="C4" s="1" t="s">
        <v>1</v>
      </c>
      <c r="D4" s="1" t="s">
        <v>2</v>
      </c>
      <c r="E4" s="1" t="s">
        <v>4</v>
      </c>
    </row>
    <row r="5" spans="1:6" x14ac:dyDescent="0.35">
      <c r="A5" s="1">
        <v>3</v>
      </c>
      <c r="B5" s="1" t="s">
        <v>1</v>
      </c>
      <c r="C5" s="1" t="s">
        <v>2</v>
      </c>
      <c r="D5" s="1" t="s">
        <v>4</v>
      </c>
      <c r="E5" s="1" t="s">
        <v>3</v>
      </c>
    </row>
    <row r="6" spans="1:6" x14ac:dyDescent="0.35">
      <c r="A6" s="6">
        <v>4</v>
      </c>
      <c r="B6" s="6" t="s">
        <v>2</v>
      </c>
      <c r="C6" s="6" t="s">
        <v>4</v>
      </c>
      <c r="D6" s="6" t="s">
        <v>3</v>
      </c>
      <c r="E6" s="6" t="s">
        <v>1</v>
      </c>
    </row>
    <row r="7" spans="1:6" x14ac:dyDescent="0.35">
      <c r="A7" s="1">
        <v>5</v>
      </c>
      <c r="B7" s="1" t="s">
        <v>1</v>
      </c>
      <c r="C7" s="1" t="s">
        <v>2</v>
      </c>
      <c r="D7" s="1" t="s">
        <v>3</v>
      </c>
      <c r="E7" s="1" t="s">
        <v>4</v>
      </c>
    </row>
    <row r="8" spans="1:6" x14ac:dyDescent="0.35">
      <c r="A8" s="1">
        <v>6</v>
      </c>
      <c r="B8" s="1" t="s">
        <v>2</v>
      </c>
      <c r="C8" s="1" t="s">
        <v>3</v>
      </c>
      <c r="D8" s="1" t="s">
        <v>4</v>
      </c>
      <c r="E8" s="1" t="s">
        <v>1</v>
      </c>
    </row>
    <row r="9" spans="1:6" x14ac:dyDescent="0.35">
      <c r="A9" s="1">
        <v>7</v>
      </c>
      <c r="B9" s="1" t="s">
        <v>3</v>
      </c>
      <c r="C9" s="1" t="s">
        <v>4</v>
      </c>
      <c r="D9" s="1" t="s">
        <v>1</v>
      </c>
      <c r="E9" s="1" t="s">
        <v>2</v>
      </c>
    </row>
    <row r="10" spans="1:6" x14ac:dyDescent="0.35">
      <c r="A10" s="6">
        <v>8</v>
      </c>
      <c r="B10" s="6" t="s">
        <v>4</v>
      </c>
      <c r="C10" s="6" t="s">
        <v>1</v>
      </c>
      <c r="D10" s="6" t="s">
        <v>2</v>
      </c>
      <c r="E10" s="6" t="s">
        <v>3</v>
      </c>
      <c r="F10" s="1"/>
    </row>
    <row r="11" spans="1:6" x14ac:dyDescent="0.35">
      <c r="A11" s="1">
        <v>9</v>
      </c>
      <c r="B11" s="1" t="s">
        <v>2</v>
      </c>
      <c r="C11" s="1" t="s">
        <v>3</v>
      </c>
      <c r="D11" s="1" t="s">
        <v>4</v>
      </c>
      <c r="E11" s="1" t="s">
        <v>1</v>
      </c>
      <c r="F11" s="1"/>
    </row>
    <row r="12" spans="1:6" x14ac:dyDescent="0.35">
      <c r="A12" s="1">
        <v>10</v>
      </c>
      <c r="B12" s="1" t="s">
        <v>3</v>
      </c>
      <c r="C12" s="1" t="s">
        <v>4</v>
      </c>
      <c r="D12" s="1" t="s">
        <v>1</v>
      </c>
      <c r="E12" s="1" t="s">
        <v>2</v>
      </c>
    </row>
    <row r="13" spans="1:6" x14ac:dyDescent="0.35">
      <c r="A13" s="1">
        <v>11</v>
      </c>
      <c r="B13" s="1" t="s">
        <v>4</v>
      </c>
      <c r="C13" s="1" t="s">
        <v>1</v>
      </c>
      <c r="D13" s="1" t="s">
        <v>2</v>
      </c>
      <c r="E13" s="1" t="s">
        <v>3</v>
      </c>
    </row>
    <row r="14" spans="1:6" x14ac:dyDescent="0.35">
      <c r="A14" s="6">
        <v>12</v>
      </c>
      <c r="B14" s="6" t="s">
        <v>1</v>
      </c>
      <c r="C14" s="6" t="s">
        <v>2</v>
      </c>
      <c r="D14" s="6" t="s">
        <v>3</v>
      </c>
      <c r="E14" s="6" t="s">
        <v>4</v>
      </c>
      <c r="F14" s="1"/>
    </row>
    <row r="15" spans="1:6" x14ac:dyDescent="0.35">
      <c r="A15" s="1">
        <v>13</v>
      </c>
      <c r="B15" s="1" t="s">
        <v>3</v>
      </c>
      <c r="C15" s="1" t="s">
        <v>2</v>
      </c>
      <c r="D15" s="1" t="s">
        <v>1</v>
      </c>
      <c r="E15" s="1" t="s">
        <v>4</v>
      </c>
      <c r="F15" s="1"/>
    </row>
    <row r="16" spans="1:6" x14ac:dyDescent="0.35">
      <c r="A16" s="1">
        <v>14</v>
      </c>
      <c r="B16" s="1" t="s">
        <v>2</v>
      </c>
      <c r="C16" s="1" t="s">
        <v>1</v>
      </c>
      <c r="D16" s="1" t="s">
        <v>4</v>
      </c>
      <c r="E16" s="1" t="s">
        <v>3</v>
      </c>
      <c r="F16" s="1"/>
    </row>
    <row r="17" spans="1:6" x14ac:dyDescent="0.35">
      <c r="A17" s="1">
        <v>15</v>
      </c>
      <c r="B17" s="1" t="s">
        <v>1</v>
      </c>
      <c r="C17" s="1" t="s">
        <v>4</v>
      </c>
      <c r="D17" s="1" t="s">
        <v>3</v>
      </c>
      <c r="E17" s="1" t="s">
        <v>2</v>
      </c>
      <c r="F17" s="1"/>
    </row>
    <row r="18" spans="1:6" x14ac:dyDescent="0.35">
      <c r="A18" s="6">
        <v>16</v>
      </c>
      <c r="B18" s="6" t="s">
        <v>4</v>
      </c>
      <c r="C18" s="6" t="s">
        <v>3</v>
      </c>
      <c r="D18" s="6" t="s">
        <v>2</v>
      </c>
      <c r="E18" s="6" t="s">
        <v>1</v>
      </c>
    </row>
    <row r="19" spans="1:6" x14ac:dyDescent="0.35">
      <c r="A19" s="1">
        <v>17</v>
      </c>
      <c r="B19" s="1" t="s">
        <v>3</v>
      </c>
      <c r="C19" s="1" t="s">
        <v>1</v>
      </c>
      <c r="D19" s="1" t="s">
        <v>2</v>
      </c>
      <c r="E19" s="1" t="s">
        <v>4</v>
      </c>
    </row>
    <row r="20" spans="1:6" x14ac:dyDescent="0.35">
      <c r="A20" s="1">
        <v>18</v>
      </c>
      <c r="B20" s="1" t="s">
        <v>1</v>
      </c>
      <c r="C20" s="1" t="s">
        <v>2</v>
      </c>
      <c r="D20" s="1" t="s">
        <v>4</v>
      </c>
      <c r="E20" s="1" t="s">
        <v>3</v>
      </c>
    </row>
    <row r="21" spans="1:6" x14ac:dyDescent="0.35">
      <c r="A21" s="1">
        <v>19</v>
      </c>
      <c r="B21" s="1" t="s">
        <v>2</v>
      </c>
      <c r="C21" s="1" t="s">
        <v>4</v>
      </c>
      <c r="D21" s="1" t="s">
        <v>3</v>
      </c>
      <c r="E21" s="1" t="s">
        <v>1</v>
      </c>
    </row>
    <row r="22" spans="1:6" x14ac:dyDescent="0.35">
      <c r="A22" s="6">
        <v>20</v>
      </c>
      <c r="B22" s="6" t="s">
        <v>4</v>
      </c>
      <c r="C22" s="6" t="s">
        <v>3</v>
      </c>
      <c r="D22" s="6" t="s">
        <v>1</v>
      </c>
      <c r="E22" s="6" t="s">
        <v>2</v>
      </c>
      <c r="F22" s="1"/>
    </row>
    <row r="23" spans="1:6" x14ac:dyDescent="0.35">
      <c r="A23" s="1">
        <v>21</v>
      </c>
      <c r="B23" s="1" t="s">
        <v>1</v>
      </c>
      <c r="C23" s="1" t="s">
        <v>4</v>
      </c>
      <c r="D23" s="1" t="s">
        <v>3</v>
      </c>
      <c r="E23" s="1" t="s">
        <v>2</v>
      </c>
    </row>
    <row r="24" spans="1:6" x14ac:dyDescent="0.35">
      <c r="A24" s="1">
        <v>22</v>
      </c>
      <c r="B24" s="1" t="s">
        <v>4</v>
      </c>
      <c r="C24" s="1" t="s">
        <v>3</v>
      </c>
      <c r="D24" s="1" t="s">
        <v>2</v>
      </c>
      <c r="E24" s="1" t="s">
        <v>1</v>
      </c>
    </row>
  </sheetData>
  <mergeCells count="1">
    <mergeCell ref="A1:E1"/>
  </mergeCells>
  <phoneticPr fontId="1" type="noConversion"/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DF9858-6E66-42F7-A79F-EBBDD295A195}">
  <dimension ref="A1:F29"/>
  <sheetViews>
    <sheetView workbookViewId="0">
      <selection activeCell="H36" sqref="H36"/>
    </sheetView>
  </sheetViews>
  <sheetFormatPr defaultRowHeight="14.15" x14ac:dyDescent="0.35"/>
  <cols>
    <col min="1" max="6" width="8.92578125" style="1"/>
  </cols>
  <sheetData>
    <row r="1" spans="1:6" x14ac:dyDescent="0.35">
      <c r="A1" s="1" t="s">
        <v>17</v>
      </c>
      <c r="B1" s="1" t="s">
        <v>23</v>
      </c>
      <c r="C1" s="1" t="s">
        <v>3</v>
      </c>
      <c r="D1" s="1" t="s">
        <v>1</v>
      </c>
      <c r="E1" s="1" t="s">
        <v>2</v>
      </c>
      <c r="F1" s="1" t="s">
        <v>4</v>
      </c>
    </row>
    <row r="2" spans="1:6" x14ac:dyDescent="0.35">
      <c r="A2" s="1">
        <v>5</v>
      </c>
      <c r="B2" s="1">
        <v>5</v>
      </c>
      <c r="C2" s="1">
        <v>2</v>
      </c>
      <c r="D2" s="1">
        <v>1</v>
      </c>
      <c r="E2" s="1">
        <v>4</v>
      </c>
      <c r="F2" s="1">
        <v>3</v>
      </c>
    </row>
    <row r="3" spans="1:6" x14ac:dyDescent="0.35">
      <c r="A3" s="1">
        <v>6</v>
      </c>
      <c r="B3" s="1">
        <v>5</v>
      </c>
      <c r="C3" s="1">
        <v>4</v>
      </c>
      <c r="D3" s="1">
        <v>3</v>
      </c>
      <c r="E3" s="1">
        <v>1</v>
      </c>
      <c r="F3" s="1">
        <v>2</v>
      </c>
    </row>
    <row r="4" spans="1:6" x14ac:dyDescent="0.35">
      <c r="A4" s="1">
        <v>7</v>
      </c>
      <c r="B4" s="1">
        <v>4</v>
      </c>
      <c r="C4" s="1">
        <v>2</v>
      </c>
      <c r="D4" s="1">
        <v>1</v>
      </c>
      <c r="E4" s="1">
        <v>3</v>
      </c>
      <c r="F4" s="1">
        <v>5</v>
      </c>
    </row>
    <row r="5" spans="1:6" x14ac:dyDescent="0.35">
      <c r="A5" s="1">
        <v>8</v>
      </c>
      <c r="B5" s="1">
        <v>4</v>
      </c>
      <c r="C5" s="1">
        <v>1</v>
      </c>
      <c r="D5" s="1">
        <v>5</v>
      </c>
      <c r="E5" s="1">
        <v>2</v>
      </c>
      <c r="F5" s="1">
        <v>3</v>
      </c>
    </row>
    <row r="6" spans="1:6" x14ac:dyDescent="0.35">
      <c r="A6" s="1">
        <v>10</v>
      </c>
      <c r="B6" s="1">
        <v>5</v>
      </c>
      <c r="C6" s="1">
        <v>4</v>
      </c>
      <c r="D6" s="1">
        <v>2</v>
      </c>
      <c r="E6" s="1">
        <v>1</v>
      </c>
      <c r="F6" s="1">
        <v>3</v>
      </c>
    </row>
    <row r="7" spans="1:6" x14ac:dyDescent="0.35">
      <c r="A7" s="1">
        <v>11</v>
      </c>
      <c r="B7" s="1">
        <v>3</v>
      </c>
      <c r="C7" s="1">
        <v>4</v>
      </c>
      <c r="D7" s="1">
        <v>5</v>
      </c>
      <c r="E7" s="1">
        <v>2</v>
      </c>
      <c r="F7" s="1">
        <v>1</v>
      </c>
    </row>
    <row r="8" spans="1:6" x14ac:dyDescent="0.35">
      <c r="A8" s="1">
        <v>12</v>
      </c>
      <c r="B8" s="1">
        <v>1</v>
      </c>
      <c r="C8" s="1">
        <v>4</v>
      </c>
      <c r="D8" s="1">
        <v>2</v>
      </c>
      <c r="E8" s="1">
        <v>5</v>
      </c>
      <c r="F8" s="1">
        <v>3</v>
      </c>
    </row>
    <row r="9" spans="1:6" x14ac:dyDescent="0.35">
      <c r="A9" s="1">
        <v>13</v>
      </c>
      <c r="B9" s="1">
        <v>1</v>
      </c>
      <c r="C9" s="1">
        <v>3</v>
      </c>
      <c r="D9" s="1">
        <v>2</v>
      </c>
      <c r="E9" s="1">
        <v>5</v>
      </c>
      <c r="F9" s="4">
        <v>4</v>
      </c>
    </row>
    <row r="10" spans="1:6" x14ac:dyDescent="0.35">
      <c r="A10" s="1">
        <v>15</v>
      </c>
      <c r="B10" s="1">
        <v>1</v>
      </c>
      <c r="C10" s="1">
        <v>2</v>
      </c>
      <c r="D10" s="1">
        <v>5</v>
      </c>
      <c r="E10" s="1">
        <v>3</v>
      </c>
      <c r="F10" s="1">
        <v>4</v>
      </c>
    </row>
    <row r="11" spans="1:6" x14ac:dyDescent="0.35">
      <c r="A11" s="1">
        <v>16</v>
      </c>
      <c r="B11" s="4">
        <v>2</v>
      </c>
      <c r="C11" s="1">
        <v>3</v>
      </c>
      <c r="D11" s="4">
        <v>5</v>
      </c>
      <c r="E11" s="4">
        <v>4</v>
      </c>
      <c r="F11" s="1">
        <v>1</v>
      </c>
    </row>
    <row r="12" spans="1:6" x14ac:dyDescent="0.35">
      <c r="A12" s="1">
        <v>19</v>
      </c>
      <c r="B12" s="1">
        <v>1</v>
      </c>
      <c r="C12" s="1">
        <v>3</v>
      </c>
      <c r="D12" s="4">
        <v>2</v>
      </c>
      <c r="E12" s="4">
        <v>4</v>
      </c>
      <c r="F12" s="1">
        <v>5</v>
      </c>
    </row>
    <row r="13" spans="1:6" x14ac:dyDescent="0.35">
      <c r="A13" s="1">
        <v>23</v>
      </c>
      <c r="B13" s="1">
        <v>3</v>
      </c>
      <c r="C13" s="1">
        <v>5</v>
      </c>
      <c r="D13" s="1">
        <v>4</v>
      </c>
      <c r="E13" s="1">
        <v>2</v>
      </c>
      <c r="F13" s="1">
        <v>1</v>
      </c>
    </row>
    <row r="14" spans="1:6" x14ac:dyDescent="0.35">
      <c r="A14" s="1">
        <v>27</v>
      </c>
      <c r="B14" s="1">
        <v>2</v>
      </c>
      <c r="C14" s="1">
        <v>5</v>
      </c>
      <c r="D14" s="1">
        <v>3</v>
      </c>
      <c r="E14" s="1">
        <v>1</v>
      </c>
      <c r="F14" s="1">
        <v>4</v>
      </c>
    </row>
    <row r="15" spans="1:6" x14ac:dyDescent="0.35">
      <c r="A15" s="1">
        <v>29</v>
      </c>
      <c r="B15" s="1">
        <v>2</v>
      </c>
      <c r="C15" s="1">
        <v>1</v>
      </c>
      <c r="D15" s="1">
        <v>4</v>
      </c>
      <c r="E15" s="1">
        <v>3</v>
      </c>
      <c r="F15" s="1">
        <v>5</v>
      </c>
    </row>
    <row r="16" spans="1:6" x14ac:dyDescent="0.35">
      <c r="A16" s="1">
        <v>30</v>
      </c>
      <c r="B16" s="1">
        <v>4</v>
      </c>
      <c r="C16" s="1">
        <v>3</v>
      </c>
      <c r="D16" s="1">
        <v>1</v>
      </c>
      <c r="E16" s="1">
        <v>5</v>
      </c>
      <c r="F16" s="1">
        <v>2</v>
      </c>
    </row>
    <row r="17" spans="1:6" x14ac:dyDescent="0.35">
      <c r="A17" s="1">
        <v>31</v>
      </c>
      <c r="B17" s="1">
        <v>3</v>
      </c>
      <c r="C17" s="1">
        <v>2</v>
      </c>
      <c r="D17" s="4">
        <v>4</v>
      </c>
      <c r="E17" s="1">
        <v>5</v>
      </c>
      <c r="F17" s="1">
        <v>1</v>
      </c>
    </row>
    <row r="18" spans="1:6" x14ac:dyDescent="0.35">
      <c r="A18" s="1">
        <v>32</v>
      </c>
      <c r="B18" s="1">
        <v>1</v>
      </c>
      <c r="C18" s="1">
        <v>5</v>
      </c>
      <c r="D18" s="1">
        <v>4</v>
      </c>
      <c r="E18" s="1">
        <v>3</v>
      </c>
      <c r="F18" s="1">
        <v>2</v>
      </c>
    </row>
    <row r="19" spans="1:6" x14ac:dyDescent="0.35">
      <c r="A19" s="1">
        <v>33</v>
      </c>
      <c r="B19" s="1">
        <v>2</v>
      </c>
      <c r="C19" s="1">
        <v>1</v>
      </c>
      <c r="D19" s="1">
        <v>5</v>
      </c>
      <c r="E19" s="1">
        <v>3</v>
      </c>
      <c r="F19" s="1">
        <v>4</v>
      </c>
    </row>
    <row r="20" spans="1:6" x14ac:dyDescent="0.35">
      <c r="A20" s="1">
        <v>34</v>
      </c>
      <c r="B20" s="1">
        <v>3</v>
      </c>
      <c r="C20" s="1">
        <v>2</v>
      </c>
      <c r="D20" s="1">
        <v>1</v>
      </c>
      <c r="E20" s="1">
        <v>4</v>
      </c>
      <c r="F20" s="1">
        <v>5</v>
      </c>
    </row>
    <row r="21" spans="1:6" x14ac:dyDescent="0.35">
      <c r="A21" s="1">
        <v>35</v>
      </c>
      <c r="B21" s="1">
        <v>4</v>
      </c>
      <c r="C21" s="1">
        <v>5</v>
      </c>
      <c r="D21" s="1">
        <v>3</v>
      </c>
      <c r="E21" s="1">
        <v>1</v>
      </c>
      <c r="F21" s="1">
        <v>2</v>
      </c>
    </row>
    <row r="22" spans="1:6" x14ac:dyDescent="0.35">
      <c r="A22" s="1">
        <v>36</v>
      </c>
      <c r="B22" s="1">
        <v>5</v>
      </c>
      <c r="C22" s="1">
        <v>4</v>
      </c>
      <c r="D22" s="1">
        <v>3</v>
      </c>
      <c r="E22" s="1">
        <v>2</v>
      </c>
      <c r="F22" s="1">
        <v>1</v>
      </c>
    </row>
    <row r="23" spans="1:6" x14ac:dyDescent="0.35">
      <c r="A23" s="1">
        <v>37</v>
      </c>
      <c r="B23" s="1">
        <v>2</v>
      </c>
      <c r="C23" s="1">
        <v>1</v>
      </c>
      <c r="D23" s="1">
        <v>4</v>
      </c>
      <c r="E23" s="1">
        <v>5</v>
      </c>
      <c r="F23" s="1">
        <v>3</v>
      </c>
    </row>
    <row r="24" spans="1:6" x14ac:dyDescent="0.35">
      <c r="A24" s="7" t="s">
        <v>22</v>
      </c>
    </row>
    <row r="25" spans="1:6" x14ac:dyDescent="0.35">
      <c r="A25" s="1" t="s">
        <v>12</v>
      </c>
      <c r="B25" s="1">
        <f>COUNTIF(B2:B23,1)</f>
        <v>5</v>
      </c>
      <c r="C25" s="1">
        <f>COUNTIF(C2:C23,1)</f>
        <v>4</v>
      </c>
      <c r="D25" s="1">
        <f>COUNTIF(D2:D23,1)</f>
        <v>4</v>
      </c>
      <c r="E25" s="1">
        <f>COUNTIF(E2:E23,1)</f>
        <v>4</v>
      </c>
      <c r="F25" s="1">
        <f>COUNTIF(F2:F23,1)</f>
        <v>5</v>
      </c>
    </row>
    <row r="26" spans="1:6" x14ac:dyDescent="0.35">
      <c r="A26" s="1" t="s">
        <v>13</v>
      </c>
      <c r="B26" s="1">
        <f>COUNTIF(B2:B23,2)</f>
        <v>5</v>
      </c>
      <c r="C26" s="1">
        <f>COUNTIF(C2:C23,2)</f>
        <v>5</v>
      </c>
      <c r="D26" s="1">
        <f>COUNTIF(D2:D23,2)</f>
        <v>4</v>
      </c>
      <c r="E26" s="1">
        <f>COUNTIF(E2:E23,2)</f>
        <v>4</v>
      </c>
      <c r="F26" s="1">
        <f>COUNTIF(F2:F23,2)</f>
        <v>4</v>
      </c>
    </row>
    <row r="27" spans="1:6" x14ac:dyDescent="0.35">
      <c r="A27" s="1" t="s">
        <v>14</v>
      </c>
      <c r="B27" s="1">
        <f>COUNTIF(B2:B23,3)</f>
        <v>4</v>
      </c>
      <c r="C27" s="1">
        <f>COUNTIF(C2:C23,3)</f>
        <v>4</v>
      </c>
      <c r="D27" s="1">
        <f>COUNTIF(D2:D23,3)</f>
        <v>4</v>
      </c>
      <c r="E27" s="1">
        <f>COUNTIF(E2:E23,3)</f>
        <v>5</v>
      </c>
      <c r="F27" s="1">
        <f>COUNTIF(F2:F23,3)</f>
        <v>5</v>
      </c>
    </row>
    <row r="28" spans="1:6" x14ac:dyDescent="0.35">
      <c r="A28" s="1" t="s">
        <v>15</v>
      </c>
      <c r="B28" s="1">
        <f>COUNTIF(B2:B23,4)</f>
        <v>4</v>
      </c>
      <c r="C28" s="1">
        <f>COUNTIF(C2:C23,4)</f>
        <v>5</v>
      </c>
      <c r="D28" s="1">
        <f>COUNTIF(D2:D23,4)</f>
        <v>5</v>
      </c>
      <c r="E28" s="1">
        <f>COUNTIF(E2:E23,4)</f>
        <v>4</v>
      </c>
      <c r="F28" s="1">
        <f>COUNTIF(F2:F23,4)</f>
        <v>4</v>
      </c>
    </row>
    <row r="29" spans="1:6" x14ac:dyDescent="0.35">
      <c r="A29" s="1" t="s">
        <v>16</v>
      </c>
      <c r="B29" s="1">
        <f>COUNTIF(B2:B23,5)</f>
        <v>4</v>
      </c>
      <c r="C29" s="1">
        <f>COUNTIF(C2:C23,5)</f>
        <v>4</v>
      </c>
      <c r="D29" s="1">
        <f>COUNTIF(D2:D23,5)</f>
        <v>5</v>
      </c>
      <c r="E29" s="1">
        <f>COUNTIF(E2:E23,5)</f>
        <v>5</v>
      </c>
      <c r="F29" s="1">
        <f>COUNTIF(F2:F23,5)</f>
        <v>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4</vt:i4>
      </vt:variant>
    </vt:vector>
  </HeadingPairs>
  <TitlesOfParts>
    <vt:vector size="4" baseType="lpstr">
      <vt:lpstr>fMRI_participants</vt:lpstr>
      <vt:lpstr>TMS_participants</vt:lpstr>
      <vt:lpstr>StiOrder</vt:lpstr>
      <vt:lpstr>TaskOrder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Liujiaxuan</dc:creator>
  <cp:lastModifiedBy>jiaxuan liu</cp:lastModifiedBy>
  <dcterms:created xsi:type="dcterms:W3CDTF">2015-06-05T18:19:34Z</dcterms:created>
  <dcterms:modified xsi:type="dcterms:W3CDTF">2025-11-16T15:33:13Z</dcterms:modified>
</cp:coreProperties>
</file>